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stotleuniversity-my.sharepoint.com/personal/kapetaat_office365_auth_gr/Documents/11/116 - VLSI/design_project/"/>
    </mc:Choice>
  </mc:AlternateContent>
  <xr:revisionPtr revIDLastSave="303" documentId="8_{5A1979A2-66F3-4820-B0F9-D6D34D35CD30}" xr6:coauthVersionLast="47" xr6:coauthVersionMax="47" xr10:uidLastSave="{D2FD9C96-133F-4FB2-AAFB-74C6E857A85D}"/>
  <bookViews>
    <workbookView xWindow="14295" yWindow="0" windowWidth="14610" windowHeight="16305" xr2:uid="{6C86A056-420B-478F-BA52-2F608751C113}"/>
  </bookViews>
  <sheets>
    <sheet name="no λ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8" i="2"/>
  <c r="C12" i="2"/>
  <c r="B16" i="2"/>
  <c r="B12" i="2"/>
  <c r="B8" i="2"/>
  <c r="B6" i="2"/>
  <c r="B7" i="2" s="1"/>
  <c r="C3" i="2"/>
  <c r="B3" i="2"/>
  <c r="C2" i="2"/>
  <c r="B2" i="2"/>
  <c r="C13" i="2"/>
  <c r="B13" i="2"/>
  <c r="I2" i="2"/>
  <c r="H2" i="2"/>
  <c r="G2" i="2"/>
  <c r="F2" i="2"/>
  <c r="E2" i="2"/>
  <c r="I13" i="2"/>
  <c r="H13" i="2"/>
  <c r="G13" i="2"/>
  <c r="F13" i="2"/>
  <c r="E13" i="2"/>
  <c r="D13" i="2"/>
  <c r="E3" i="2"/>
  <c r="F3" i="2"/>
  <c r="G3" i="2"/>
  <c r="H3" i="2"/>
  <c r="I3" i="2"/>
  <c r="D3" i="2"/>
  <c r="D8" i="2" s="1"/>
  <c r="I12" i="2"/>
  <c r="H12" i="2"/>
  <c r="E12" i="2"/>
  <c r="D12" i="2"/>
  <c r="G12" i="2"/>
  <c r="F12" i="2"/>
  <c r="D6" i="2"/>
  <c r="D7" i="2" s="1"/>
  <c r="C26" i="1"/>
  <c r="B26" i="1"/>
  <c r="C25" i="1"/>
  <c r="B25" i="1"/>
  <c r="B24" i="1"/>
  <c r="B23" i="1"/>
  <c r="C24" i="1"/>
  <c r="C23" i="1"/>
  <c r="C11" i="1"/>
  <c r="C12" i="1"/>
  <c r="C10" i="1"/>
  <c r="C9" i="1"/>
  <c r="C3" i="1"/>
  <c r="C2" i="1"/>
  <c r="B9" i="1"/>
  <c r="B11" i="1"/>
  <c r="B10" i="1"/>
  <c r="B12" i="1"/>
  <c r="B3" i="1"/>
  <c r="B2" i="1"/>
  <c r="F6" i="2" l="1"/>
  <c r="F7" i="2" s="1"/>
  <c r="F8" i="2" s="1"/>
  <c r="H6" i="2"/>
  <c r="H7" i="2" s="1"/>
  <c r="H8" i="2" s="1"/>
  <c r="F16" i="2"/>
  <c r="F17" i="2" s="1"/>
  <c r="F18" i="2" s="1"/>
  <c r="H16" i="2"/>
  <c r="H17" i="2" s="1"/>
  <c r="H18" i="2" s="1"/>
  <c r="D16" i="2"/>
  <c r="D17" i="2" s="1"/>
  <c r="D18" i="2" s="1"/>
  <c r="C18" i="1"/>
  <c r="C21" i="1" s="1"/>
  <c r="C17" i="1"/>
  <c r="C20" i="1" s="1"/>
  <c r="B17" i="1"/>
  <c r="B20" i="1" s="1"/>
  <c r="B18" i="1"/>
  <c r="B21" i="1" s="1"/>
  <c r="C7" i="1"/>
  <c r="B7" i="1"/>
</calcChain>
</file>

<file path=xl/sharedStrings.xml><?xml version="1.0" encoding="utf-8"?>
<sst xmlns="http://schemas.openxmlformats.org/spreadsheetml/2006/main" count="40" uniqueCount="35">
  <si>
    <t>Id1</t>
  </si>
  <si>
    <t>Id2</t>
  </si>
  <si>
    <t>Vgs1</t>
  </si>
  <si>
    <t>Vgs2</t>
  </si>
  <si>
    <t>nMOS2V</t>
  </si>
  <si>
    <t>pMOS2V</t>
  </si>
  <si>
    <t>kprime</t>
  </si>
  <si>
    <t>lambda</t>
  </si>
  <si>
    <t>Vds1</t>
  </si>
  <si>
    <t>Vds2</t>
  </si>
  <si>
    <t>id1</t>
  </si>
  <si>
    <t>id2</t>
  </si>
  <si>
    <t>Vgs</t>
  </si>
  <si>
    <t>S</t>
  </si>
  <si>
    <t>Vth</t>
  </si>
  <si>
    <t>kprime [SI]</t>
  </si>
  <si>
    <t>lambda [SI]</t>
  </si>
  <si>
    <t>beta effective 2</t>
  </si>
  <si>
    <t>beta effective 1</t>
  </si>
  <si>
    <t>μCox</t>
  </si>
  <si>
    <t>Vsg (V)</t>
  </si>
  <si>
    <t>Id (A)</t>
  </si>
  <si>
    <t>A</t>
  </si>
  <si>
    <t>Vthp (V)</t>
  </si>
  <si>
    <t>pMOS1V_HVT</t>
  </si>
  <si>
    <t>pMOS1V_LVT</t>
  </si>
  <si>
    <t>nMOS1V_HVT</t>
  </si>
  <si>
    <t>nMOS1V_LVT</t>
  </si>
  <si>
    <t>Vgs (V)</t>
  </si>
  <si>
    <t>pMOS1V_SVT</t>
  </si>
  <si>
    <t>nMOS1V_SVT</t>
  </si>
  <si>
    <t>W/L</t>
  </si>
  <si>
    <t>kn'</t>
  </si>
  <si>
    <t>kp'</t>
  </si>
  <si>
    <t>Vthn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</si>
</sst>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164" fontId="1" fillId="9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109472</xdr:colOff>
      <xdr:row>12</xdr:row>
      <xdr:rowOff>138781</xdr:rowOff>
    </xdr:from>
    <xdr:to>
      <xdr:col>12</xdr:col>
      <xdr:colOff>392206</xdr:colOff>
      <xdr:row>17</xdr:row>
      <xdr:rowOff>94944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9A8ACC-EE0B-701D-7124-CA8A8CADF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354" y="2424781"/>
          <a:ext cx="5728793" cy="908663"/>
        </a:xfrm>
        <a:prstGeom prst="rect">
          <a:avLst/>
        </a:prstGeom>
      </xdr:spPr>
    </xdr:pic>
    <xdr:clientData/>
  </xdr:twoCellAnchor>
  <xdr:twoCellAnchor editAs="oneCell">
    <xdr:from>
      <xdr:col>4</xdr:col>
      <xdr:colOff>300404</xdr:colOff>
      <xdr:row>6</xdr:row>
      <xdr:rowOff>0</xdr:rowOff>
    </xdr:from>
    <xdr:to>
      <xdr:col>10</xdr:col>
      <xdr:colOff>95250</xdr:colOff>
      <xdr:row>8</xdr:row>
      <xdr:rowOff>3209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393EB6-6983-AFC3-116D-7BDC94A5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1289" y="1143001"/>
          <a:ext cx="3443653" cy="3842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ED38-BE66-43A2-B8C8-1CC598C3B4AD}">
  <dimension ref="A1:I18"/>
  <sheetViews>
    <sheetView tabSelected="1" zoomScale="124" zoomScaleNormal="150" workbookViewId="0">
      <selection activeCell="B8" sqref="B8:C8"/>
    </sheetView>
  </sheetViews>
  <sheetFormatPr defaultRowHeight="15" x14ac:dyDescent="0.25"/>
  <cols>
    <col min="1" max="1" width="8.140625" bestFit="1" customWidth="1"/>
    <col min="2" max="11" width="12.7109375" customWidth="1"/>
  </cols>
  <sheetData>
    <row r="1" spans="1:9" x14ac:dyDescent="0.25">
      <c r="B1" s="19" t="s">
        <v>5</v>
      </c>
      <c r="C1" s="19"/>
      <c r="D1" s="9" t="s">
        <v>24</v>
      </c>
      <c r="E1" s="9"/>
      <c r="F1" s="8" t="s">
        <v>29</v>
      </c>
      <c r="G1" s="8"/>
      <c r="H1" s="6" t="s">
        <v>25</v>
      </c>
      <c r="I1" s="6"/>
    </row>
    <row r="2" spans="1:9" x14ac:dyDescent="0.25">
      <c r="A2" t="s">
        <v>21</v>
      </c>
      <c r="B2" s="1">
        <f>0.0000379406</f>
        <v>3.7940600000000001E-5</v>
      </c>
      <c r="C2" s="1">
        <f>0.0000284139</f>
        <v>2.8413899999999999E-5</v>
      </c>
      <c r="D2" s="1">
        <v>2.2078599999999999E-5</v>
      </c>
      <c r="E2" s="1">
        <f>0.0000148664</f>
        <v>1.4866400000000001E-5</v>
      </c>
      <c r="F2" s="1">
        <f>0.0000326769</f>
        <v>3.2676899999999999E-5</v>
      </c>
      <c r="G2" s="1">
        <f>0.0000239478</f>
        <v>2.3947800000000001E-5</v>
      </c>
      <c r="H2" s="1">
        <f>0.0000400313</f>
        <v>4.0031299999999997E-5</v>
      </c>
      <c r="I2" s="1">
        <f>0.0000314219</f>
        <v>3.1421899999999998E-5</v>
      </c>
    </row>
    <row r="3" spans="1:9" x14ac:dyDescent="0.25">
      <c r="A3" t="s">
        <v>31</v>
      </c>
      <c r="B3" s="1">
        <f>320/150</f>
        <v>2.1333333333333333</v>
      </c>
      <c r="C3" s="1">
        <f>320/150</f>
        <v>2.1333333333333333</v>
      </c>
      <c r="D3" s="1">
        <f>120/45</f>
        <v>2.6666666666666665</v>
      </c>
      <c r="E3" s="1">
        <f t="shared" ref="B3:K3" si="0">120/45</f>
        <v>2.6666666666666665</v>
      </c>
      <c r="F3" s="1">
        <f t="shared" si="0"/>
        <v>2.6666666666666665</v>
      </c>
      <c r="G3" s="1">
        <f t="shared" si="0"/>
        <v>2.6666666666666665</v>
      </c>
      <c r="H3" s="1">
        <f t="shared" si="0"/>
        <v>2.6666666666666665</v>
      </c>
      <c r="I3" s="1">
        <f t="shared" si="0"/>
        <v>2.6666666666666665</v>
      </c>
    </row>
    <row r="4" spans="1:9" x14ac:dyDescent="0.25">
      <c r="A4" t="s">
        <v>20</v>
      </c>
      <c r="B4" s="1">
        <v>1</v>
      </c>
      <c r="C4" s="1">
        <v>0.9</v>
      </c>
      <c r="D4" s="1">
        <v>1</v>
      </c>
      <c r="E4" s="1">
        <v>0.9</v>
      </c>
      <c r="F4" s="1">
        <v>1</v>
      </c>
      <c r="G4" s="1">
        <v>0.9</v>
      </c>
      <c r="H4" s="1">
        <v>1</v>
      </c>
      <c r="I4" s="1">
        <v>0.9</v>
      </c>
    </row>
    <row r="5" spans="1:9" x14ac:dyDescent="0.25">
      <c r="D5" s="1"/>
      <c r="E5" s="1"/>
      <c r="F5" s="1"/>
      <c r="G5" s="1"/>
      <c r="H5" s="1"/>
      <c r="I5" s="1"/>
    </row>
    <row r="6" spans="1:9" x14ac:dyDescent="0.25">
      <c r="A6" t="s">
        <v>22</v>
      </c>
      <c r="B6" s="12">
        <f>SQRT(B2/C2)</f>
        <v>1.1555444964516348</v>
      </c>
      <c r="C6" s="12"/>
      <c r="D6" s="12">
        <f>SQRT(D2/E2)</f>
        <v>1.2186608480204744</v>
      </c>
      <c r="E6" s="12"/>
      <c r="F6" s="12">
        <f>SQRT(F2/G2)</f>
        <v>1.1681204128964531</v>
      </c>
      <c r="G6" s="12"/>
      <c r="H6" s="12">
        <f>SQRT(H2/I2)</f>
        <v>1.1287132567297864</v>
      </c>
      <c r="I6" s="12"/>
    </row>
    <row r="7" spans="1:9" x14ac:dyDescent="0.25">
      <c r="A7" s="4" t="s">
        <v>23</v>
      </c>
      <c r="B7" s="21">
        <f>-(B4-B6*C4)/(1-B6)</f>
        <v>-0.25709715045370241</v>
      </c>
      <c r="C7" s="21"/>
      <c r="D7" s="13">
        <f>-(D4-D6*E4)/(1-D6)</f>
        <v>-0.44267075745248891</v>
      </c>
      <c r="E7" s="13"/>
      <c r="F7" s="14">
        <f>-(F4-F6*G4)/(1-F6)</f>
        <v>-0.30518823218932495</v>
      </c>
      <c r="G7" s="14"/>
      <c r="H7" s="15">
        <f>-(H4-H6*I4)/(1-H6)</f>
        <v>-0.12307924963833022</v>
      </c>
      <c r="I7" s="15"/>
    </row>
    <row r="8" spans="1:9" x14ac:dyDescent="0.25">
      <c r="A8" s="4" t="s">
        <v>33</v>
      </c>
      <c r="B8" s="21">
        <f>2*B2/(B3*(B4-ABS(B7))^2)</f>
        <v>6.4448293551167143E-5</v>
      </c>
      <c r="C8" s="21"/>
      <c r="D8" s="13">
        <f>2*D2/(D3*(D4-ABS(D7))^2)</f>
        <v>5.3310055348262658E-5</v>
      </c>
      <c r="E8" s="13"/>
      <c r="F8" s="14">
        <f>2*F2/(F3*(F4-ABS(F7))^2)</f>
        <v>5.0765396405747934E-5</v>
      </c>
      <c r="G8" s="14"/>
      <c r="H8" s="15">
        <f>2*H2/(H3*(H4-ABS(H7))^2)</f>
        <v>3.9042737754348833E-5</v>
      </c>
      <c r="I8" s="15"/>
    </row>
    <row r="9" spans="1:9" s="4" customFormat="1" x14ac:dyDescent="0.25"/>
    <row r="11" spans="1:9" x14ac:dyDescent="0.25">
      <c r="B11" s="20" t="s">
        <v>4</v>
      </c>
      <c r="C11" s="20"/>
      <c r="D11" s="10" t="s">
        <v>26</v>
      </c>
      <c r="E11" s="10"/>
      <c r="F11" s="11" t="s">
        <v>30</v>
      </c>
      <c r="G11" s="11"/>
      <c r="H11" s="7" t="s">
        <v>27</v>
      </c>
      <c r="I11" s="7"/>
    </row>
    <row r="12" spans="1:9" x14ac:dyDescent="0.25">
      <c r="A12" t="s">
        <v>21</v>
      </c>
      <c r="B12" s="1">
        <f>0.0000550295</f>
        <v>5.5029499999999999E-5</v>
      </c>
      <c r="C12" s="1">
        <f>0.0000392794</f>
        <v>3.9279400000000002E-5</v>
      </c>
      <c r="D12" s="1">
        <f>0.0000284251</f>
        <v>2.84251E-5</v>
      </c>
      <c r="E12" s="1">
        <f>0.0000175227</f>
        <v>1.7522700000000001E-5</v>
      </c>
      <c r="F12" s="1">
        <f>0.0000454705</f>
        <v>4.5470499999999998E-5</v>
      </c>
      <c r="G12" s="1">
        <f>0.0000321177</f>
        <v>3.2117699999999999E-5</v>
      </c>
      <c r="H12" s="1">
        <f>0.0000627586</f>
        <v>6.2758599999999999E-5</v>
      </c>
      <c r="I12" s="1">
        <f>0.0000477832</f>
        <v>4.77832E-5</v>
      </c>
    </row>
    <row r="13" spans="1:9" x14ac:dyDescent="0.25">
      <c r="A13" t="s">
        <v>31</v>
      </c>
      <c r="B13" s="1">
        <f t="shared" ref="B13:K13" si="1">120/45</f>
        <v>2.6666666666666665</v>
      </c>
      <c r="C13" s="1">
        <f t="shared" si="1"/>
        <v>2.6666666666666665</v>
      </c>
      <c r="D13" s="1">
        <f>120/45</f>
        <v>2.6666666666666665</v>
      </c>
      <c r="E13" s="1">
        <f t="shared" si="1"/>
        <v>2.6666666666666665</v>
      </c>
      <c r="F13" s="1">
        <f t="shared" si="1"/>
        <v>2.6666666666666665</v>
      </c>
      <c r="G13" s="1">
        <f t="shared" si="1"/>
        <v>2.6666666666666665</v>
      </c>
      <c r="H13" s="1">
        <f t="shared" si="1"/>
        <v>2.6666666666666665</v>
      </c>
      <c r="I13" s="1">
        <f t="shared" si="1"/>
        <v>2.6666666666666665</v>
      </c>
    </row>
    <row r="14" spans="1:9" x14ac:dyDescent="0.25">
      <c r="A14" t="s">
        <v>28</v>
      </c>
      <c r="B14" s="1">
        <v>1</v>
      </c>
      <c r="C14" s="1">
        <v>0.9</v>
      </c>
      <c r="D14" s="1">
        <v>1</v>
      </c>
      <c r="E14" s="1">
        <v>0.9</v>
      </c>
      <c r="F14" s="1">
        <v>1</v>
      </c>
      <c r="G14" s="1">
        <v>0.9</v>
      </c>
      <c r="H14" s="1">
        <v>1</v>
      </c>
      <c r="I14" s="1">
        <v>0.9</v>
      </c>
    </row>
    <row r="15" spans="1:9" x14ac:dyDescent="0.25">
      <c r="D15" s="1"/>
      <c r="E15" s="1"/>
      <c r="F15" s="1"/>
      <c r="G15" s="1"/>
      <c r="H15" s="1"/>
      <c r="I15" s="1"/>
    </row>
    <row r="16" spans="1:9" x14ac:dyDescent="0.25">
      <c r="A16" t="s">
        <v>22</v>
      </c>
      <c r="B16" s="12">
        <f>SQRT(B12/C12)</f>
        <v>1.1836283555897398</v>
      </c>
      <c r="C16" s="12"/>
      <c r="D16" s="12">
        <f>SQRT(D12/E12)</f>
        <v>1.273651137480766</v>
      </c>
      <c r="E16" s="12"/>
      <c r="F16" s="12">
        <f>SQRT(F12/G12)</f>
        <v>1.1898511818085435</v>
      </c>
      <c r="G16" s="12"/>
      <c r="H16" s="12">
        <f>SQRT(H12/I12)</f>
        <v>1.1460379736512569</v>
      </c>
      <c r="I16" s="12"/>
    </row>
    <row r="17" spans="1:9" x14ac:dyDescent="0.25">
      <c r="A17" s="4" t="s">
        <v>34</v>
      </c>
      <c r="B17" s="22">
        <f>(B14-B16*C14)/(1-B16)</f>
        <v>0.35542179649302819</v>
      </c>
      <c r="C17" s="22"/>
      <c r="D17" s="16">
        <f>(D14-D16*E14)/(1-D16)</f>
        <v>0.53457122480615105</v>
      </c>
      <c r="E17" s="16"/>
      <c r="F17" s="17">
        <f>(F14-F16*G14)/(1-F16)</f>
        <v>0.37327164862821072</v>
      </c>
      <c r="G17" s="17"/>
      <c r="H17" s="18">
        <f>(H14-H16*I14)/(1-H16)</f>
        <v>0.21524659306213717</v>
      </c>
      <c r="I17" s="18"/>
    </row>
    <row r="18" spans="1:9" x14ac:dyDescent="0.25">
      <c r="A18" s="4" t="s">
        <v>32</v>
      </c>
      <c r="B18" s="22">
        <f>2*B12/(B13*(B14-B17)^2)</f>
        <v>9.9335755417256021E-5</v>
      </c>
      <c r="C18" s="22"/>
      <c r="D18" s="16">
        <f>2*D12/(D13*(D14-D17)^2)</f>
        <v>9.8413981989867169E-5</v>
      </c>
      <c r="E18" s="16"/>
      <c r="F18" s="17">
        <f t="shared" ref="F18" si="2">2*F12/(F13*(F14-F17)^2)</f>
        <v>8.6822504704160656E-5</v>
      </c>
      <c r="G18" s="17"/>
      <c r="H18" s="18">
        <f t="shared" ref="H18" si="3">2*H12/(H13*(H14-H17)^2)</f>
        <v>7.643074461408957E-5</v>
      </c>
      <c r="I18" s="18"/>
    </row>
  </sheetData>
  <mergeCells count="32">
    <mergeCell ref="B16:C16"/>
    <mergeCell ref="D18:E18"/>
    <mergeCell ref="F18:G18"/>
    <mergeCell ref="H18:I18"/>
    <mergeCell ref="B1:C1"/>
    <mergeCell ref="B7:C7"/>
    <mergeCell ref="B8:C8"/>
    <mergeCell ref="B11:C11"/>
    <mergeCell ref="B17:C17"/>
    <mergeCell ref="B18:C18"/>
    <mergeCell ref="B6:C6"/>
    <mergeCell ref="D16:E16"/>
    <mergeCell ref="F16:G16"/>
    <mergeCell ref="H16:I16"/>
    <mergeCell ref="D17:E17"/>
    <mergeCell ref="F17:G17"/>
    <mergeCell ref="H17:I17"/>
    <mergeCell ref="H1:I1"/>
    <mergeCell ref="H6:I6"/>
    <mergeCell ref="H7:I7"/>
    <mergeCell ref="D11:E11"/>
    <mergeCell ref="F11:G11"/>
    <mergeCell ref="H11:I11"/>
    <mergeCell ref="D8:E8"/>
    <mergeCell ref="F8:G8"/>
    <mergeCell ref="H8:I8"/>
    <mergeCell ref="D1:E1"/>
    <mergeCell ref="D6:E6"/>
    <mergeCell ref="D7:E7"/>
    <mergeCell ref="F1:G1"/>
    <mergeCell ref="F6:G6"/>
    <mergeCell ref="F7:G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FB06-5E44-45A9-B95F-E64298AF578E}">
  <dimension ref="A1:C26"/>
  <sheetViews>
    <sheetView zoomScale="130" zoomScaleNormal="130" workbookViewId="0">
      <selection activeCell="B17" sqref="B17"/>
    </sheetView>
  </sheetViews>
  <sheetFormatPr defaultRowHeight="15" x14ac:dyDescent="0.25"/>
  <cols>
    <col min="1" max="1" width="15.140625" bestFit="1" customWidth="1"/>
    <col min="2" max="2" width="16.7109375" style="1" customWidth="1"/>
    <col min="3" max="3" width="16.7109375" customWidth="1"/>
  </cols>
  <sheetData>
    <row r="1" spans="1:3" x14ac:dyDescent="0.25">
      <c r="B1" s="3" t="s">
        <v>4</v>
      </c>
      <c r="C1" s="2" t="s">
        <v>5</v>
      </c>
    </row>
    <row r="2" spans="1:3" x14ac:dyDescent="0.25">
      <c r="A2" t="s">
        <v>0</v>
      </c>
      <c r="B2" s="1">
        <f>42.3749*10^(-6)</f>
        <v>4.2374899999999993E-5</v>
      </c>
      <c r="C2" s="1">
        <f>-20.8782*10^(-6)</f>
        <v>-2.0878199999999999E-5</v>
      </c>
    </row>
    <row r="3" spans="1:3" x14ac:dyDescent="0.25">
      <c r="A3" t="s">
        <v>1</v>
      </c>
      <c r="B3" s="1">
        <f>58.8459*10^(-6)</f>
        <v>5.8845899999999998E-5</v>
      </c>
      <c r="C3" s="1">
        <f>-30.282*10^(-6)</f>
        <v>-3.0281999999999999E-5</v>
      </c>
    </row>
    <row r="4" spans="1:3" x14ac:dyDescent="0.25">
      <c r="A4" t="s">
        <v>2</v>
      </c>
      <c r="B4" s="1">
        <v>1</v>
      </c>
      <c r="C4" s="1">
        <v>1</v>
      </c>
    </row>
    <row r="5" spans="1:3" x14ac:dyDescent="0.25">
      <c r="A5" t="s">
        <v>3</v>
      </c>
      <c r="B5" s="1">
        <v>0.9</v>
      </c>
      <c r="C5" s="1">
        <v>0.9</v>
      </c>
    </row>
    <row r="6" spans="1:3" x14ac:dyDescent="0.25">
      <c r="C6" s="1"/>
    </row>
    <row r="7" spans="1:3" x14ac:dyDescent="0.25">
      <c r="A7" s="4"/>
      <c r="B7" s="1">
        <f>(B4-B5)/(1-SQRT(B2/B3))</f>
        <v>0.660444114668435</v>
      </c>
      <c r="C7" s="1">
        <f>(C4-C5)/(1-SQRT(C2/C3))</f>
        <v>0.58940276108850109</v>
      </c>
    </row>
    <row r="8" spans="1:3" x14ac:dyDescent="0.25">
      <c r="C8" s="1"/>
    </row>
    <row r="9" spans="1:3" x14ac:dyDescent="0.25">
      <c r="A9" t="s">
        <v>14</v>
      </c>
      <c r="B9" s="1">
        <f>530.836*10^(-3)</f>
        <v>0.53083599999999997</v>
      </c>
      <c r="C9" s="1">
        <f>-490.082*10^(-3)</f>
        <v>-0.49008200000000002</v>
      </c>
    </row>
    <row r="10" spans="1:3" x14ac:dyDescent="0.25">
      <c r="A10" t="s">
        <v>10</v>
      </c>
      <c r="B10" s="1">
        <f>58.9459*10^(-6)</f>
        <v>5.8945900000000001E-5</v>
      </c>
      <c r="C10" s="1">
        <f>-20.8782*10^(-6)</f>
        <v>-2.0878199999999999E-5</v>
      </c>
    </row>
    <row r="11" spans="1:3" x14ac:dyDescent="0.25">
      <c r="A11" t="s">
        <v>11</v>
      </c>
      <c r="B11" s="1">
        <f>57.7843*10^(-6)</f>
        <v>5.7784300000000002E-5</v>
      </c>
      <c r="C11" s="1">
        <f>-40.7718*10^(-6)</f>
        <v>-4.0771799999999995E-5</v>
      </c>
    </row>
    <row r="12" spans="1:3" x14ac:dyDescent="0.25">
      <c r="A12" t="s">
        <v>13</v>
      </c>
      <c r="B12" s="1">
        <f>320/150</f>
        <v>2.1333333333333333</v>
      </c>
      <c r="C12" s="1">
        <f>320/150</f>
        <v>2.1333333333333333</v>
      </c>
    </row>
    <row r="13" spans="1:3" x14ac:dyDescent="0.25">
      <c r="A13" t="s">
        <v>12</v>
      </c>
      <c r="B13" s="1">
        <v>1</v>
      </c>
      <c r="C13" s="1">
        <v>1</v>
      </c>
    </row>
    <row r="14" spans="1:3" x14ac:dyDescent="0.25">
      <c r="A14" t="s">
        <v>8</v>
      </c>
      <c r="B14" s="1">
        <v>1.8</v>
      </c>
      <c r="C14" s="1">
        <v>-1.8</v>
      </c>
    </row>
    <row r="15" spans="1:3" x14ac:dyDescent="0.25">
      <c r="A15" t="s">
        <v>9</v>
      </c>
      <c r="B15" s="1">
        <v>1.6</v>
      </c>
      <c r="C15" s="1">
        <v>-2</v>
      </c>
    </row>
    <row r="16" spans="1:3" x14ac:dyDescent="0.25">
      <c r="C16" s="1"/>
    </row>
    <row r="17" spans="1:3" x14ac:dyDescent="0.25">
      <c r="A17" s="4" t="s">
        <v>6</v>
      </c>
      <c r="B17" s="1">
        <f>B10*B15/(B12*(B14-B15)*(B13^2+B9^2-2*B13*B9))+B11*B14/(B12*(B14-B15)*(B13^2+B9^2-2*B13*B9))</f>
        <v>2.1117367675965058E-3</v>
      </c>
      <c r="C17" s="1">
        <f>C10*C15/(C12*(C14-C15)*(C13^2+C9^2-2*C13*C9))+C11*C14/(C12*(C14-C15)*(C13^2+C9^2-2*C13*C9))</f>
        <v>1.2154537728225583E-4</v>
      </c>
    </row>
    <row r="18" spans="1:3" x14ac:dyDescent="0.25">
      <c r="A18" s="4" t="s">
        <v>7</v>
      </c>
      <c r="B18" s="1">
        <f>B10/(B12*(B14-B15)*(B13^2+B9^2-2*B13*B9))-B11/(B12*(B14-B15)*(B13^2+B9^2-2*B13*B9))</f>
        <v>1.2368542558439163E-5</v>
      </c>
      <c r="C18" s="1">
        <f>C10/(C12*(C14-C15)*(C13^2+C9^2-2*C13*C9))-C11/(C12*(C14-C15)*(C13^2+C9^2-2*C13*C9))</f>
        <v>2.0999276372968043E-5</v>
      </c>
    </row>
    <row r="20" spans="1:3" x14ac:dyDescent="0.25">
      <c r="A20" s="4" t="s">
        <v>15</v>
      </c>
      <c r="B20" s="5" t="str">
        <f>ROUND(B17 / (1000 ^ INT(LOG(ABS(B17),1000)) ),4) &amp; CHOOSE(  INT(LOG(ABS(B17),1000)) + 6,"f","p","n","µ","m","","k","M","G","T","P"
)</f>
        <v>2.1117m</v>
      </c>
      <c r="C20" s="5" t="str">
        <f>ROUND(C17 / (1000 ^ INT(LOG(ABS(C17),1000)) ),4) &amp; CHOOSE(  INT(LOG(ABS(C17),1000)) + 6,"f","p","n","µ","m","","k","M","G","T","P"
)</f>
        <v>121.5454µ</v>
      </c>
    </row>
    <row r="21" spans="1:3" x14ac:dyDescent="0.25">
      <c r="A21" s="4" t="s">
        <v>16</v>
      </c>
      <c r="B21" s="5" t="str">
        <f>ROUND(B18 / (1000 ^ INT(LOG(ABS(B18),1000)) ),4) &amp; CHOOSE(  INT(LOG(ABS(B18),1000)) + 6,"f","p","n","µ","m","","k","M","G","T","P"
)</f>
        <v>12.3685µ</v>
      </c>
      <c r="C21" s="5" t="str">
        <f>ROUND(C18 / (1000 ^ INT(LOG(ABS(C18),1000)) ),4) &amp; CHOOSE(  INT(LOG(ABS(C18),1000)) + 6,"f","p","n","µ","m","","k","M","G","T","P"
)</f>
        <v>20.9993µ</v>
      </c>
    </row>
    <row r="23" spans="1:3" x14ac:dyDescent="0.25">
      <c r="A23" s="4" t="s">
        <v>18</v>
      </c>
      <c r="B23" s="1">
        <f>572.5*10^(-6)</f>
        <v>5.7249999999999998E-4</v>
      </c>
      <c r="C23">
        <f>445.935*10^(-6)</f>
        <v>4.4593500000000001E-4</v>
      </c>
    </row>
    <row r="24" spans="1:3" x14ac:dyDescent="0.25">
      <c r="A24" s="4" t="s">
        <v>17</v>
      </c>
      <c r="B24" s="1">
        <f>572.487*10^(-6)</f>
        <v>5.7248699999999989E-4</v>
      </c>
      <c r="C24">
        <f>407.211*10^(-6)</f>
        <v>4.0721099999999999E-4</v>
      </c>
    </row>
    <row r="25" spans="1:3" x14ac:dyDescent="0.25">
      <c r="A25" s="4" t="s">
        <v>19</v>
      </c>
      <c r="B25" s="1">
        <f>B23/B12</f>
        <v>2.6835937499999999E-4</v>
      </c>
      <c r="C25" s="1">
        <f>C23/C12</f>
        <v>2.0903203125000001E-4</v>
      </c>
    </row>
    <row r="26" spans="1:3" x14ac:dyDescent="0.25">
      <c r="B26" s="1">
        <f>B24/B12</f>
        <v>2.6835328124999994E-4</v>
      </c>
      <c r="C26" s="1">
        <f>C24/C12</f>
        <v>1.9088015624999999E-4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λ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Antonios Kapetanios</dc:creator>
  <cp:lastModifiedBy>Antonios Kapetanios</cp:lastModifiedBy>
  <dcterms:created xsi:type="dcterms:W3CDTF">2025-11-19T19:04:26Z</dcterms:created>
  <dcterms:modified xsi:type="dcterms:W3CDTF">2025-12-27T21:20:55Z</dcterms:modified>
</cp:coreProperties>
</file>